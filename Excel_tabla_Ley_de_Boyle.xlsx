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pl\OneDrive\Documentos\Universidad\Semestre 5\Fisicoquimica\Primer corte\"/>
    </mc:Choice>
  </mc:AlternateContent>
  <xr:revisionPtr revIDLastSave="0" documentId="13_ncr:1_{003A6A9A-D6AC-40AA-820D-32325B4B2D94}" xr6:coauthVersionLast="47" xr6:coauthVersionMax="47" xr10:uidLastSave="{00000000-0000-0000-0000-000000000000}"/>
  <bookViews>
    <workbookView xWindow="-108" yWindow="-108" windowWidth="23256" windowHeight="12456" xr2:uid="{C2DF9A3C-6328-4686-9430-39ADC402A0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F9" i="1"/>
  <c r="H9" i="1" s="1"/>
  <c r="E8" i="1"/>
  <c r="F8" i="1"/>
  <c r="H8" i="1"/>
  <c r="I6" i="1"/>
  <c r="I7" i="1"/>
  <c r="I8" i="1"/>
  <c r="I9" i="1"/>
  <c r="I5" i="1"/>
  <c r="E6" i="1"/>
  <c r="F6" i="1" s="1"/>
  <c r="H6" i="1" s="1"/>
  <c r="E7" i="1"/>
  <c r="F7" i="1" s="1"/>
  <c r="H7" i="1" s="1"/>
  <c r="E5" i="1"/>
  <c r="F5" i="1" s="1"/>
  <c r="H5" i="1" s="1"/>
</calcChain>
</file>

<file path=xl/sharedStrings.xml><?xml version="1.0" encoding="utf-8"?>
<sst xmlns="http://schemas.openxmlformats.org/spreadsheetml/2006/main" count="16" uniqueCount="15">
  <si>
    <t>Sl No.</t>
  </si>
  <si>
    <t>Posición del tubo</t>
  </si>
  <si>
    <t>Altura del hilo de Hg desde la mesa hasta</t>
  </si>
  <si>
    <t>Longitud de la columna de aire, l (cm)</t>
  </si>
  <si>
    <r>
      <t>P×l (cm</t>
    </r>
    <r>
      <rPr>
        <sz val="6"/>
        <color rgb="FF000000"/>
        <rFont val="Arial"/>
        <family val="2"/>
      </rPr>
      <t>2</t>
    </r>
    <r>
      <rPr>
        <sz val="8"/>
        <color rgb="FF000000"/>
        <rFont val="Arial"/>
        <family val="2"/>
      </rPr>
      <t>)</t>
    </r>
  </si>
  <si>
    <t>Vertical (extremo abierto hacia arriba)</t>
  </si>
  <si>
    <t>Inclinado (extremo abierto hacia arriba)</t>
  </si>
  <si>
    <t>Horizontal</t>
  </si>
  <si>
    <t>Inclinado (extremo abierto hacia abajo)</t>
  </si>
  <si>
    <t>Vertical (extremo abierto hacia abajo)</t>
  </si>
  <si>
    <t>Extremo superior, h2 (cm)</t>
  </si>
  <si>
    <t>Altura vertical, h = h2 - h1  (cm)</t>
  </si>
  <si>
    <t>Presión, P = H ± h (cm)</t>
  </si>
  <si>
    <r>
      <t>Extremo inferior, h1</t>
    </r>
    <r>
      <rPr>
        <sz val="6"/>
        <color rgb="FF000000"/>
        <rFont val="Arial"/>
        <family val="2"/>
      </rPr>
      <t> </t>
    </r>
    <r>
      <rPr>
        <sz val="8"/>
        <color rgb="FF000000"/>
        <rFont val="Arial"/>
        <family val="2"/>
      </rPr>
      <t>(cm)</t>
    </r>
  </si>
  <si>
    <t>10 cm mg - 7cm 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</si>
</sst>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medium">
        <color rgb="FF999999"/>
      </right>
      <top style="thin">
        <color theme="1"/>
      </top>
      <bottom/>
      <diagonal/>
    </border>
    <border>
      <left style="medium">
        <color rgb="FF999999"/>
      </left>
      <right style="medium">
        <color rgb="FF999999"/>
      </right>
      <top style="thin">
        <color theme="1"/>
      </top>
      <bottom/>
      <diagonal/>
    </border>
    <border>
      <left style="medium">
        <color rgb="FF999999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thin">
        <color theme="1"/>
      </right>
      <top/>
      <bottom style="medium">
        <color rgb="FF999999"/>
      </bottom>
      <diagonal/>
    </border>
    <border>
      <left style="thin">
        <color theme="1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thin">
        <color theme="1"/>
      </right>
      <top style="medium">
        <color rgb="FF999999"/>
      </top>
      <bottom style="medium">
        <color rgb="FF999999"/>
      </bottom>
      <diagonal/>
    </border>
    <border>
      <left style="thin">
        <color theme="1"/>
      </left>
      <right style="medium">
        <color rgb="FF999999"/>
      </right>
      <top style="medium">
        <color rgb="FF999999"/>
      </top>
      <bottom style="thin">
        <color theme="1"/>
      </bottom>
      <diagonal/>
    </border>
    <border>
      <left style="medium">
        <color rgb="FF999999"/>
      </left>
      <right/>
      <top style="medium">
        <color rgb="FF999999"/>
      </top>
      <bottom style="thin">
        <color theme="1"/>
      </bottom>
      <diagonal/>
    </border>
    <border>
      <left style="medium">
        <color rgb="FF999999"/>
      </left>
      <right style="thin">
        <color theme="1"/>
      </right>
      <top style="medium">
        <color rgb="FF999999"/>
      </top>
      <bottom style="thin">
        <color theme="1"/>
      </bottom>
      <diagonal/>
    </border>
    <border>
      <left/>
      <right/>
      <top style="medium">
        <color rgb="FF999999"/>
      </top>
      <bottom/>
      <diagonal/>
    </border>
    <border>
      <left/>
      <right style="medium">
        <color rgb="FF999999"/>
      </right>
      <top style="thin">
        <color theme="1"/>
      </top>
      <bottom/>
      <diagonal/>
    </border>
    <border>
      <left/>
      <right/>
      <top style="thin">
        <color theme="1"/>
      </top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Hoja1!$H$5:$H$9</c:f>
              <c:numCache>
                <c:formatCode>General</c:formatCode>
                <c:ptCount val="5"/>
                <c:pt idx="0">
                  <c:v>693.16000000000008</c:v>
                </c:pt>
                <c:pt idx="1">
                  <c:v>638.42380000000003</c:v>
                </c:pt>
                <c:pt idx="2">
                  <c:v>532</c:v>
                </c:pt>
                <c:pt idx="3">
                  <c:v>531.69669999999996</c:v>
                </c:pt>
                <c:pt idx="4">
                  <c:v>532.34</c:v>
                </c:pt>
              </c:numCache>
            </c:numRef>
          </c:xVal>
          <c:yVal>
            <c:numRef>
              <c:f>Hoja1!$I$5:$I$9</c:f>
              <c:numCache>
                <c:formatCode>General</c:formatCode>
                <c:ptCount val="5"/>
                <c:pt idx="0">
                  <c:v>0.12406947890818858</c:v>
                </c:pt>
                <c:pt idx="1">
                  <c:v>0.13003901170351104</c:v>
                </c:pt>
                <c:pt idx="2">
                  <c:v>0.14285714285714285</c:v>
                </c:pt>
                <c:pt idx="3">
                  <c:v>0.15552099533437014</c:v>
                </c:pt>
                <c:pt idx="4">
                  <c:v>0.16155088852988692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A3-47CA-A5EF-77031772E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383727"/>
        <c:axId val="2083379407"/>
      </c:scatterChart>
      <c:valAx>
        <c:axId val="2083383727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3379407"/>
        <c:crosses val="autoZero"/>
        <c:crossBetween val="midCat"/>
      </c:valAx>
      <c:valAx>
        <c:axId val="2083379407"/>
        <c:scaling>
          <c:orientation val="minMax"/>
          <c:max val="0.16500000000000004"/>
          <c:min val="0.115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3383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8</xdr:row>
      <xdr:rowOff>3810</xdr:rowOff>
    </xdr:from>
    <xdr:ext cx="65" cy="172227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4DC1665-3045-AFC6-99BB-4505B6ADB7B9}"/>
            </a:ext>
          </a:extLst>
        </xdr:cNvPr>
        <xdr:cNvSpPr txBox="1"/>
      </xdr:nvSpPr>
      <xdr:spPr>
        <a:xfrm>
          <a:off x="8168640" y="14439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8</xdr:col>
      <xdr:colOff>381000</xdr:colOff>
      <xdr:row>8</xdr:row>
      <xdr:rowOff>3810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26C73AB-4732-48D9-8843-C01DDA6B3C33}"/>
            </a:ext>
          </a:extLst>
        </xdr:cNvPr>
        <xdr:cNvSpPr txBox="1"/>
      </xdr:nvSpPr>
      <xdr:spPr>
        <a:xfrm>
          <a:off x="8162299" y="18170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3</xdr:col>
      <xdr:colOff>177986</xdr:colOff>
      <xdr:row>11</xdr:row>
      <xdr:rowOff>130152</xdr:rowOff>
    </xdr:from>
    <xdr:to>
      <xdr:col>6</xdr:col>
      <xdr:colOff>483899</xdr:colOff>
      <xdr:row>26</xdr:row>
      <xdr:rowOff>120140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621397A-F8D2-D3F6-6D58-25326A1D0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AC42-D87B-4F2C-B304-7AED5F650463}">
  <dimension ref="A1:I9"/>
  <sheetViews>
    <sheetView tabSelected="1" topLeftCell="C2" zoomScale="137" workbookViewId="0">
      <selection activeCell="H5" sqref="H5"/>
    </sheetView>
  </sheetViews>
  <sheetFormatPr baseColWidth="10" defaultRowHeight="14.4" x14ac:dyDescent="0.3"/>
  <cols>
    <col min="2" max="2" width="20.44140625" customWidth="1"/>
    <col min="3" max="3" width="19.33203125" customWidth="1"/>
    <col min="4" max="4" width="23.88671875" customWidth="1"/>
    <col min="5" max="5" width="26.77734375" customWidth="1"/>
  </cols>
  <sheetData>
    <row r="1" spans="1:9" ht="20.399999999999999" customHeight="1" x14ac:dyDescent="0.3">
      <c r="A1" s="1" t="s">
        <v>14</v>
      </c>
      <c r="B1" s="2"/>
      <c r="C1" s="2"/>
      <c r="D1" s="2"/>
      <c r="E1" s="2"/>
      <c r="F1" s="2"/>
      <c r="G1" s="2"/>
      <c r="H1" s="3"/>
    </row>
    <row r="2" spans="1:9" ht="15" customHeight="1" x14ac:dyDescent="0.3">
      <c r="A2" s="4"/>
      <c r="B2" s="6"/>
      <c r="C2" s="6"/>
      <c r="D2" s="6"/>
      <c r="E2" s="6"/>
      <c r="F2" s="6"/>
      <c r="G2" s="6"/>
      <c r="H2" s="7"/>
    </row>
    <row r="3" spans="1:9" ht="15" thickBot="1" x14ac:dyDescent="0.35">
      <c r="A3" s="8" t="s">
        <v>0</v>
      </c>
      <c r="B3" s="10" t="s">
        <v>1</v>
      </c>
      <c r="C3" s="17" t="s">
        <v>2</v>
      </c>
      <c r="D3" s="16"/>
      <c r="E3" s="9" t="s">
        <v>11</v>
      </c>
      <c r="F3" s="9" t="s">
        <v>12</v>
      </c>
      <c r="G3" s="9" t="s">
        <v>3</v>
      </c>
      <c r="H3" s="10" t="s">
        <v>4</v>
      </c>
      <c r="I3" s="9" t="s">
        <v>3</v>
      </c>
    </row>
    <row r="4" spans="1:9" ht="15" thickBot="1" x14ac:dyDescent="0.35">
      <c r="A4" s="11"/>
      <c r="B4" s="12"/>
      <c r="C4" s="22" t="s">
        <v>13</v>
      </c>
      <c r="D4" s="23" t="s">
        <v>10</v>
      </c>
      <c r="E4" s="24"/>
      <c r="F4" s="25"/>
      <c r="G4" s="25"/>
      <c r="H4" s="26"/>
      <c r="I4" s="25"/>
    </row>
    <row r="5" spans="1:9" ht="21" thickBot="1" x14ac:dyDescent="0.35">
      <c r="A5" s="13">
        <v>1</v>
      </c>
      <c r="B5" s="20" t="s">
        <v>5</v>
      </c>
      <c r="C5" s="5">
        <v>38</v>
      </c>
      <c r="D5" s="5">
        <v>48</v>
      </c>
      <c r="E5" s="5">
        <f>D5-C5</f>
        <v>10</v>
      </c>
      <c r="F5" s="5">
        <f>76 + (E5)</f>
        <v>86</v>
      </c>
      <c r="G5" s="5">
        <v>8.06</v>
      </c>
      <c r="H5" s="5">
        <f>F5 * G5</f>
        <v>693.16000000000008</v>
      </c>
      <c r="I5" s="5">
        <f>1/G5</f>
        <v>0.12406947890818858</v>
      </c>
    </row>
    <row r="6" spans="1:9" ht="21" thickBot="1" x14ac:dyDescent="0.35">
      <c r="A6" s="13">
        <v>2</v>
      </c>
      <c r="B6" s="20" t="s">
        <v>6</v>
      </c>
      <c r="C6" s="5">
        <v>35.46</v>
      </c>
      <c r="D6" s="5">
        <v>42.48</v>
      </c>
      <c r="E6" s="5">
        <f t="shared" ref="E6:E9" si="0">D6-C6</f>
        <v>7.019999999999996</v>
      </c>
      <c r="F6" s="5">
        <f t="shared" ref="F6:F7" si="1">76 + (E6)</f>
        <v>83.02</v>
      </c>
      <c r="G6" s="5">
        <v>7.69</v>
      </c>
      <c r="H6" s="5">
        <f t="shared" ref="H6:H9" si="2">F6 * G6</f>
        <v>638.42380000000003</v>
      </c>
      <c r="I6" s="5">
        <f>1/G6</f>
        <v>0.13003901170351104</v>
      </c>
    </row>
    <row r="7" spans="1:9" x14ac:dyDescent="0.3">
      <c r="A7" s="14">
        <v>3</v>
      </c>
      <c r="B7" s="21" t="s">
        <v>7</v>
      </c>
      <c r="C7" s="5">
        <v>30</v>
      </c>
      <c r="D7" s="5">
        <v>30</v>
      </c>
      <c r="E7" s="5">
        <f t="shared" si="0"/>
        <v>0</v>
      </c>
      <c r="F7" s="5">
        <f t="shared" si="1"/>
        <v>76</v>
      </c>
      <c r="G7" s="5">
        <v>7</v>
      </c>
      <c r="H7" s="5">
        <f t="shared" si="2"/>
        <v>532</v>
      </c>
      <c r="I7" s="5">
        <f>1/G7</f>
        <v>0.14285714285714285</v>
      </c>
    </row>
    <row r="8" spans="1:9" ht="21" thickBot="1" x14ac:dyDescent="0.35">
      <c r="A8" s="18">
        <v>4</v>
      </c>
      <c r="B8" s="19" t="s">
        <v>8</v>
      </c>
      <c r="C8" s="5">
        <v>24.65</v>
      </c>
      <c r="D8" s="5">
        <v>17.96</v>
      </c>
      <c r="E8" s="5">
        <f>ABS(D8-C8)</f>
        <v>6.6899999999999977</v>
      </c>
      <c r="F8" s="5">
        <f>76 + (E8)</f>
        <v>82.69</v>
      </c>
      <c r="G8" s="5">
        <v>6.43</v>
      </c>
      <c r="H8" s="5">
        <f t="shared" si="2"/>
        <v>531.69669999999996</v>
      </c>
      <c r="I8" s="5">
        <f>1/G8</f>
        <v>0.15552099533437014</v>
      </c>
    </row>
    <row r="9" spans="1:9" ht="20.399999999999999" x14ac:dyDescent="0.3">
      <c r="A9" s="14">
        <v>5</v>
      </c>
      <c r="B9" s="15" t="s">
        <v>9</v>
      </c>
      <c r="C9" s="5">
        <v>22</v>
      </c>
      <c r="D9" s="5">
        <v>12</v>
      </c>
      <c r="E9" s="5">
        <f>ABS((D9-C9))</f>
        <v>10</v>
      </c>
      <c r="F9" s="5">
        <f>76 + (E9)</f>
        <v>86</v>
      </c>
      <c r="G9" s="5">
        <v>6.19</v>
      </c>
      <c r="H9" s="5">
        <f t="shared" si="2"/>
        <v>532.34</v>
      </c>
      <c r="I9" s="5">
        <f>1/G9</f>
        <v>0.16155088852988692</v>
      </c>
    </row>
  </sheetData>
  <mergeCells count="9">
    <mergeCell ref="G3:G4"/>
    <mergeCell ref="H3:H4"/>
    <mergeCell ref="A1:H2"/>
    <mergeCell ref="I3:I4"/>
    <mergeCell ref="F3:F4"/>
    <mergeCell ref="A3:A4"/>
    <mergeCell ref="B3:B4"/>
    <mergeCell ref="C3:D3"/>
    <mergeCell ref="E3:E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purple chest</dc:creator>
  <cp:lastModifiedBy>purple chest</cp:lastModifiedBy>
  <dcterms:created xsi:type="dcterms:W3CDTF">2026-03-10T15:40:30Z</dcterms:created>
  <dcterms:modified xsi:type="dcterms:W3CDTF">2026-03-10T17:29:56Z</dcterms:modified>
</cp:coreProperties>
</file>